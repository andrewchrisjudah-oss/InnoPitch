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ba633cb74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db84adb9a1834057"/>
    <x:sheet xmlns:r="http://schemas.openxmlformats.org/officeDocument/2006/relationships" name="Tech stack" sheetId="2" r:id="R64d9018848304441"/>
    <x:sheet xmlns:r="http://schemas.openxmlformats.org/officeDocument/2006/relationships" name="Monthly costs" sheetId="3" r:id="R354f210cf1ae477a"/>
    <x:sheet xmlns:r="http://schemas.openxmlformats.org/officeDocument/2006/relationships" name="Launch checklist" sheetId="4" r:id="Raef95a02bc04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9353C"/>
      <x:name val="Carlito"/>
    </x:font>
    <x:font>
      <x:b/>
      <x:sz val="11"/>
      <x:color rgb="FFFFFFFF"/>
      <x:name val="Carlito"/>
    </x:font>
    <x:font>
      <x:b/>
      <x:sz val="11"/>
      <x:color rgb="FF29353C"/>
      <x:name val="Carlito"/>
    </x:font>
    <x:font>
      <x:sz val="10"/>
      <x:color rgb="FF768A96"/>
      <x:name val="Carlito"/>
    </x:font>
    <x:font>
      <x:b/>
      <x:sz val="10"/>
      <x:color rgb="FFFFFFFF"/>
      <x:name val="Aptos"/>
    </x:font>
    <x:font>
      <x:i/>
      <x:sz val="10"/>
      <x:color rgb="FF29353C"/>
      <x:name val="Aptos"/>
    </x:font>
    <x:font>
      <x:sz val="10"/>
      <x:name val="Aptos"/>
    </x:font>
    <x:font>
      <x:b/>
      <x:sz val="10"/>
      <x:color rgb="FF29353C"/>
      <x:name val="Aptos"/>
    </x:font>
    <x:font>
      <x:sz val="10"/>
      <x:color rgb="FF768A9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9353C"/>
      </x:patternFill>
    </x:fill>
    <x:fill>
      <x:patternFill patternType="solid">
        <x:fgColor rgb="FFDFEBF6"/>
      </x:patternFill>
    </x:fill>
    <x:fill>
      <x:patternFill patternType="solid">
        <x:fgColor rgb="FF44576D"/>
      </x:patternFill>
    </x:fill>
    <x:fill>
      <x:patternFill patternType="solid">
        <x:fgColor rgb="FFAAC7D8"/>
      </x:patternFill>
    </x:fill>
    <x:fill>
      <x:patternFill patternType="solid">
        <x:fgColor rgb="FFF4F7F9"/>
      </x:patternFill>
    </x:fill>
    <x:fill>
      <x:patternFill patternType="solid">
        <x:fgColor rgb="FF8E3B52"/>
      </x:patternFill>
    </x:fill>
  </x:fills>
  <x:borders count="2">
    <x:border/>
    <x:border>
      <x:left style="thin">
        <x:color rgb="FFC8D1D8"/>
      </x:left>
      <x:right style="thin">
        <x:color rgb="FFC8D1D8"/>
      </x:right>
      <x:top style="thin">
        <x:color rgb="FFC8D1D8"/>
      </x:top>
      <x:bottom style="thin">
        <x:color rgb="FFC8D1D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6" fillId="4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0" fontId="9" fillId="5" borderId="0" xfId="0" applyNumberFormat="1" applyFont="1" applyFill="1" applyBorder="1"/>
    <x:xf numFmtId="200" fontId="8" fillId="0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e7f056c2a4cb5" /><Relationship Type="http://schemas.openxmlformats.org/officeDocument/2006/relationships/theme" Target="/xl/theme/theme1.xml" Id="R5d5c1143ee2c4f34" /><Relationship Type="http://schemas.openxmlformats.org/officeDocument/2006/relationships/sharedStrings" Target="/xl/sharedStrings.xml" Id="R8bab0cb77b5542eb" /><Relationship Type="http://schemas.openxmlformats.org/officeDocument/2006/relationships/worksheet" Target="/xl/worksheets/sheet1.xml" Id="Rdb84adb9a1834057" /><Relationship Type="http://schemas.openxmlformats.org/officeDocument/2006/relationships/worksheet" Target="/xl/worksheets/sheet2.xml" Id="R64d9018848304441" /><Relationship Type="http://schemas.openxmlformats.org/officeDocument/2006/relationships/worksheet" Target="/xl/worksheets/sheet3.xml" Id="R354f210cf1ae477a" /><Relationship Type="http://schemas.openxmlformats.org/officeDocument/2006/relationships/worksheet" Target="/xl/worksheets/sheet4.xml" Id="Raef95a02bc044b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6" t="str">
        <x:v>KNOMO worldwide launch plan</x:v>
      </x:c>
      <x:c r="B1" s="26"/>
      <x:c r="C1" s="26"/>
      <x:c r="D1" s="26"/>
      <x:c r="E1" s="26"/>
      <x:c r="F1" s="26"/>
      <x:c r="G1" s="26"/>
      <x:c r="H1" s="26"/>
    </x:row>
    <x:row r="2">
      <x:c r="A2" s="27" t="str">
        <x:v>Planning workbook in INR (₹). Estimates are directional for budgeting, not vendor quotes. Replace assumptions with measured usage before committing spend.</x:v>
      </x:c>
      <x:c r="B2" s="27"/>
      <x:c r="C2" s="27"/>
      <x:c r="D2" s="27"/>
      <x:c r="E2" s="27"/>
      <x:c r="F2" s="27"/>
      <x:c r="G2" s="27"/>
      <x:c r="H2" s="27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29" t="str">
        <x:v>Decision snapshot</x:v>
      </x:c>
      <x:c r="B4" s="29" t="str">
        <x:v>Recommended starting point</x:v>
      </x:c>
      <x:c r="C4" s="28"/>
      <x:c r="D4" s="28"/>
      <x:c r="E4" s="28"/>
      <x:c r="F4" s="28"/>
      <x:c r="G4" s="28"/>
      <x:c r="H4" s="28"/>
    </x:row>
    <x:row r="5">
      <x:c r="A5" s="30" t="str">
        <x:v>Current app</x:v>
      </x:c>
      <x:c r="B5" s="30" t="str">
        <x:v>React/Vite frontend + FastAPI backend; SQLite locally; MySQL schema ready</x:v>
      </x:c>
      <x:c r="C5" s="28"/>
      <x:c r="D5" s="28"/>
      <x:c r="E5" s="28"/>
      <x:c r="F5" s="28"/>
      <x:c r="G5" s="28"/>
      <x:c r="H5" s="28"/>
    </x:row>
    <x:row r="6">
      <x:c r="A6" s="30" t="str">
        <x:v>Worldwide production</x:v>
      </x:c>
      <x:c r="B6" s="30" t="str">
        <x:v>HTTPS frontend + FastAPI API + managed PostgreSQL/MySQL + object storage/CDN + background worker</x:v>
      </x:c>
      <x:c r="C6" s="28"/>
      <x:c r="D6" s="28"/>
      <x:c r="E6" s="28"/>
      <x:c r="F6" s="28"/>
      <x:c r="G6" s="28"/>
      <x:c r="H6" s="28"/>
    </x:row>
    <x:row r="7">
      <x:c r="A7" s="30" t="str">
        <x:v>Pilot budget</x:v>
      </x:c>
      <x:c r="B7" s="30" t="str">
        <x:v>₹15,000–₹60,000/month infrastructure, excluding people and paid AI usage</x:v>
      </x:c>
      <x:c r="C7" s="28"/>
      <x:c r="D7" s="28"/>
      <x:c r="E7" s="28"/>
      <x:c r="F7" s="28"/>
      <x:c r="G7" s="28"/>
      <x:c r="H7" s="28"/>
    </x:row>
    <x:row r="8">
      <x:c r="A8" s="30" t="str">
        <x:v>Growth budget</x:v>
      </x:c>
      <x:c r="B8" s="30" t="str">
        <x:v>₹1,00,000–₹4,00,000/month infrastructure at ~10k–50k MAU</x:v>
      </x:c>
      <x:c r="C8" s="28"/>
      <x:c r="D8" s="28"/>
      <x:c r="E8" s="28"/>
      <x:c r="F8" s="28"/>
      <x:c r="G8" s="28"/>
      <x:c r="H8" s="28"/>
    </x:row>
    <x:row r="9">
      <x:c r="A9" s="30" t="str">
        <x:v>Scale budget</x:v>
      </x:c>
      <x:c r="B9" s="30" t="str">
        <x:v>₹4,00,000–₹15,00,000/month infrastructure at ~100k–500k MAU</x:v>
      </x:c>
      <x:c r="C9" s="28"/>
      <x:c r="D9" s="28"/>
      <x:c r="E9" s="28"/>
      <x:c r="F9" s="28"/>
      <x:c r="G9" s="28"/>
      <x:c r="H9" s="28"/>
    </x:row>
    <x:row r="10">
      <x:c r="A10" s="30" t="str">
        <x:v>Biggest cost driver</x:v>
      </x:c>
      <x:c r="B10" s="30" t="str">
        <x:v>Video storage, transcoding and delivery; moderate it with limits, compression and CDN caching</x:v>
      </x:c>
      <x:c r="C10" s="28"/>
      <x:c r="D10" s="28"/>
      <x:c r="E10" s="28"/>
      <x:c r="F10" s="28"/>
      <x:c r="G10" s="28"/>
      <x:c r="H10" s="28"/>
    </x:row>
    <x:row r="11">
      <x:c r="A11" s="28"/>
      <x:c r="B11" s="28"/>
      <x:c r="C11" s="28"/>
      <x:c r="D11" s="28"/>
      <x:c r="E11" s="28"/>
      <x:c r="F11" s="28"/>
      <x:c r="G11" s="28"/>
      <x:c r="H11" s="28"/>
    </x:row>
    <x:row r="12">
      <x:c r="A12" s="31" t="str">
        <x:v>Assumptions used in the model</x:v>
      </x:c>
      <x:c r="B12" s="31"/>
      <x:c r="C12" s="31"/>
      <x:c r="D12" s="31"/>
      <x:c r="E12" s="31"/>
      <x:c r="F12" s="31"/>
      <x:c r="G12" s="31"/>
      <x:c r="H12" s="31"/>
    </x:row>
    <x:row r="13">
      <x:c r="A13" s="30" t="str">
        <x:v>FX planning rate</x:v>
      </x:c>
      <x:c r="B13" s="30" t="str">
        <x:v>₹85 per US$1</x:v>
      </x:c>
      <x:c r="C13" s="28"/>
      <x:c r="D13" s="28"/>
      <x:c r="E13" s="28"/>
      <x:c r="F13" s="28"/>
      <x:c r="G13" s="28"/>
      <x:c r="H13" s="28"/>
    </x:row>
    <x:row r="14">
      <x:c r="A14" s="30" t="str">
        <x:v>Pilot usage</x:v>
      </x:c>
      <x:c r="B14" s="30" t="str">
        <x:v>2,000 MAU; 30 GB media stored; 100 GB delivered/month</x:v>
      </x:c>
      <x:c r="C14" s="28"/>
      <x:c r="D14" s="28"/>
      <x:c r="E14" s="28"/>
      <x:c r="F14" s="28"/>
      <x:c r="G14" s="28"/>
      <x:c r="H14" s="28"/>
    </x:row>
    <x:row r="15">
      <x:c r="A15" s="30" t="str">
        <x:v>Growth usage</x:v>
      </x:c>
      <x:c r="B15" s="30" t="str">
        <x:v>25,000 MAU; 1 TB media stored; 8 TB delivered/month</x:v>
      </x:c>
      <x:c r="C15" s="28"/>
      <x:c r="D15" s="28"/>
      <x:c r="E15" s="28"/>
      <x:c r="F15" s="28"/>
      <x:c r="G15" s="28"/>
      <x:c r="H15" s="28"/>
    </x:row>
    <x:row r="16">
      <x:c r="A16" s="30" t="str">
        <x:v>Scale usage</x:v>
      </x:c>
      <x:c r="B16" s="30" t="str">
        <x:v>250,000 MAU; 20 TB media stored; 200 TB delivered/month</x:v>
      </x:c>
      <x:c r="C16" s="28"/>
      <x:c r="D16" s="28"/>
      <x:c r="E16" s="28"/>
      <x:c r="F16" s="28"/>
      <x:c r="G16" s="28"/>
      <x:c r="H16" s="28"/>
    </x:row>
    <x:row r="17">
      <x:c r="A17" s="30" t="str">
        <x:v>People excluded</x:v>
      </x:c>
      <x:c r="B17" s="30" t="str">
        <x:v>Engineering, moderation, support, legal and marketing salaries</x:v>
      </x:c>
      <x:c r="C17" s="28"/>
      <x:c r="D17" s="28"/>
      <x:c r="E17" s="28"/>
      <x:c r="F17" s="28"/>
      <x:c r="G17" s="28"/>
      <x:c r="H17" s="28"/>
    </x:row>
    <x:row r="18">
      <x:c r="A18" s="30" t="str">
        <x:v>Contingency</x:v>
      </x:c>
      <x:c r="B18" s="30" t="str">
        <x:v>15% of recurring infrastructure subtotal</x:v>
      </x:c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32" t="str">
        <x:v>Source notes: Render service/database docs; Cloudflare R2 pricing docs; Cloudflare Stream docs; Sentry pricing page. Prices and free tiers can change. See Tech stack sheet for URLs.</x:v>
      </x:c>
      <x:c r="B20" s="32"/>
      <x:c r="C20" s="32"/>
      <x:c r="D20" s="32"/>
      <x:c r="E20" s="32"/>
      <x:c r="F20" s="32"/>
      <x:c r="G20" s="32"/>
      <x:c r="H20" s="32"/>
    </x:row>
  </x:sheetData>
  <x:mergeCells>
    <x:mergeCell ref="A1:H1"/>
    <x:mergeCell ref="A2:H2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40" hidden="0" customWidth="1"/>
    <x:col min="5" max="5" width="34" hidden="0" customWidth="1"/>
    <x:col min="6" max="6" width="18" hidden="0" customWidth="1"/>
    <x:col min="7" max="7" width="43" hidden="0" customWidth="1"/>
  </x:cols>
  <x:sheetData>
    <x:row r="1" ht="34" customHeight="1">
      <x:c r="A1" s="26" t="str">
        <x:v>KNOMO production technology map</x:v>
      </x:c>
      <x:c r="B1" s="26"/>
      <x:c r="C1" s="26"/>
      <x:c r="D1" s="26"/>
      <x:c r="E1" s="26"/>
      <x:c r="F1" s="26"/>
      <x:c r="G1" s="26"/>
      <x:c r="H1" s="26"/>
    </x:row>
    <x:row r="2">
      <x:c r="A2" s="27" t="str">
        <x:v>Use this as the target architecture for a public, multi-region service. Keep local SQLite only for development/demo.</x:v>
      </x:c>
      <x:c r="B2" s="27"/>
      <x:c r="C2" s="27"/>
      <x:c r="D2" s="27"/>
      <x:c r="E2" s="27"/>
      <x:c r="F2" s="27"/>
      <x:c r="G2" s="27"/>
      <x:c r="H2" s="27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29" t="str">
        <x:v>Layer</x:v>
      </x:c>
      <x:c r="B4" s="29" t="str">
        <x:v>Current app / code</x:v>
      </x:c>
      <x:c r="C4" s="29" t="str">
        <x:v>Worldwide production choice</x:v>
      </x:c>
      <x:c r="D4" s="29" t="str">
        <x:v>Why it is needed</x:v>
      </x:c>
      <x:c r="E4" s="29" t="str">
        <x:v>Sizing / guardrail</x:v>
      </x:c>
      <x:c r="F4" s="29" t="str">
        <x:v>Owner</x:v>
      </x:c>
      <x:c r="G4" s="29" t="str">
        <x:v>Reference</x:v>
      </x:c>
      <x:c r="H4" s="28"/>
    </x:row>
    <x:row r="5">
      <x:c r="A5" s="30" t="str">
        <x:v>Frontend</x:v>
      </x:c>
      <x:c r="B5" s="30" t="str">
        <x:v>React + Vite + Tailwind</x:v>
      </x:c>
      <x:c r="C5" s="30" t="str">
        <x:v>Static hosting + CDN (Cloudflare Pages, Vercel or Render Static Site)</x:v>
      </x:c>
      <x:c r="D5" s="30" t="str">
        <x:v>Fast global page loads, HTTPS, cacheable assets</x:v>
      </x:c>
      <x:c r="E5" s="30" t="str">
        <x:v>Build on every main-branch merge</x:v>
      </x:c>
      <x:c r="F5" s="30" t="str">
        <x:v>Frontend</x:v>
      </x:c>
      <x:c r="G5" s="30" t="str">
        <x:v>https://developers.cloudflare.com/pages/</x:v>
      </x:c>
      <x:c r="H5" s="28"/>
    </x:row>
    <x:row r="6">
      <x:c r="A6" s="30" t="str">
        <x:v>API</x:v>
      </x:c>
      <x:c r="B6" s="30" t="str">
        <x:v>FastAPI + Uvicorn</x:v>
      </x:c>
      <x:c r="C6" s="30" t="str">
        <x:v>2+ stateless API instances behind HTTPS load balancer</x:v>
      </x:c>
      <x:c r="D6" s="30" t="str">
        <x:v>Auth, feeds, comments, friends, reels</x:v>
      </x:c>
      <x:c r="E6" s="30" t="str">
        <x:v>Autoscale on CPU/requests; health checks</x:v>
      </x:c>
      <x:c r="F6" s="30" t="str">
        <x:v>Backend</x:v>
      </x:c>
      <x:c r="G6" s="30" t="str">
        <x:v>https://render.com/docs/service-types</x:v>
      </x:c>
      <x:c r="H6" s="28"/>
    </x:row>
    <x:row r="7">
      <x:c r="A7" s="30" t="str">
        <x:v>Database</x:v>
      </x:c>
      <x:c r="B7" s="30" t="str">
        <x:v>SQLite + matching MySQL schema</x:v>
      </x:c>
      <x:c r="C7" s="30" t="str">
        <x:v>Managed PostgreSQL/MySQL with backups, PITR and read replicas later</x:v>
      </x:c>
      <x:c r="D7" s="30" t="str">
        <x:v>Durable multi-user state and live updates</x:v>
      </x:c>
      <x:c r="E7" s="30" t="str">
        <x:v>Connection pooling; daily restore test</x:v>
      </x:c>
      <x:c r="F7" s="30" t="str">
        <x:v>Backend/DBA</x:v>
      </x:c>
      <x:c r="G7" s="30" t="str">
        <x:v>https://render.com/docs/postgresql</x:v>
      </x:c>
      <x:c r="H7" s="28"/>
    </x:row>
    <x:row r="8">
      <x:c r="A8" s="30" t="str">
        <x:v>Media</x:v>
      </x:c>
      <x:c r="B8" s="30" t="str">
        <x:v>Local data/uploads</x:v>
      </x:c>
      <x:c r="C8" s="30" t="str">
        <x:v>Object storage (Cloudflare R2/S3) + CDN; signed URLs</x:v>
      </x:c>
      <x:c r="D8" s="30" t="str">
        <x:v>Durable global video/image delivery</x:v>
      </x:c>
      <x:c r="E8" s="30" t="str">
        <x:v>File-size/type limits; virus scan; lifecycle rules</x:v>
      </x:c>
      <x:c r="F8" s="30" t="str">
        <x:v>Platform</x:v>
      </x:c>
      <x:c r="G8" s="30" t="str">
        <x:v>https://developers.cloudflare.com/r2/pricing/</x:v>
      </x:c>
      <x:c r="H8" s="28"/>
    </x:row>
    <x:row r="9">
      <x:c r="A9" s="30" t="str">
        <x:v>Video</x:v>
      </x:c>
      <x:c r="B9" s="30" t="str">
        <x:v>HTML5 video uploads</x:v>
      </x:c>
      <x:c r="C9" s="30" t="str">
        <x:v>Video pipeline (Cloudflare Stream or FFmpeg worker + HLS/DASH)</x:v>
      </x:c>
      <x:c r="D9" s="30" t="str">
        <x:v>Transcoding, thumbnails, adaptive playback</x:v>
      </x:c>
      <x:c r="E9" s="30" t="str">
        <x:v>Max duration/resolution; queue jobs</x:v>
      </x:c>
      <x:c r="F9" s="30" t="str">
        <x:v>Platform</x:v>
      </x:c>
      <x:c r="G9" s="30" t="str">
        <x:v>https://developers.cloudflare.com/stream/</x:v>
      </x:c>
      <x:c r="H9" s="28"/>
    </x:row>
    <x:row r="10">
      <x:c r="A10" s="30" t="str">
        <x:v>Realtime</x:v>
      </x:c>
      <x:c r="B10" s="30" t="str">
        <x:v>Polling endpoints</x:v>
      </x:c>
      <x:c r="C10" s="30" t="str">
        <x:v>WebSocket/SSE gateway + Redis/pub-sub when needed</x:v>
      </x:c>
      <x:c r="D10" s="30" t="str">
        <x:v>Live comments, friend requests, feed refresh</x:v>
      </x:c>
      <x:c r="E10" s="30" t="str">
        <x:v>Backpressure and reconnect logic</x:v>
      </x:c>
      <x:c r="F10" s="30" t="str">
        <x:v>Backend</x:v>
      </x:c>
      <x:c r="G10" s="30" t="str">
        <x:v>https://redis.io/docs/latest/develop/</x:v>
      </x:c>
      <x:c r="H10" s="28"/>
    </x:row>
    <x:row r="11">
      <x:c r="A11" s="30" t="str">
        <x:v>Async jobs</x:v>
      </x:c>
      <x:c r="B11" s="30" t="str">
        <x:v>In-process tasks</x:v>
      </x:c>
      <x:c r="C11" s="30" t="str">
        <x:v>Managed queue + worker (Redis/Celery/RQ or cloud queue)</x:v>
      </x:c>
      <x:c r="D11" s="30" t="str">
        <x:v>Transcode, email, moderation, notifications</x:v>
      </x:c>
      <x:c r="E11" s="30" t="str">
        <x:v>Retries + dead-letter queue</x:v>
      </x:c>
      <x:c r="F11" s="30" t="str">
        <x:v>Platform</x:v>
      </x:c>
      <x:c r="G11" s="30" t="str">
        <x:v>https://fastapi.tiangolo.com/</x:v>
      </x:c>
      <x:c r="H11" s="28"/>
    </x:row>
    <x:row r="12">
      <x:c r="A12" s="30" t="str">
        <x:v>Auth</x:v>
      </x:c>
      <x:c r="B12" s="30" t="str">
        <x:v>JWT/session in FastAPI</x:v>
      </x:c>
      <x:c r="C12" s="30" t="str">
        <x:v>Managed secrets, secure cookies, email verification, rate limits</x:v>
      </x:c>
      <x:c r="D12" s="30" t="str">
        <x:v>Account security and password recovery</x:v>
      </x:c>
      <x:c r="E12" s="30" t="str">
        <x:v>Argon2/bcrypt; MFA later</x:v>
      </x:c>
      <x:c r="F12" s="30" t="str">
        <x:v>Security</x:v>
      </x:c>
      <x:c r="G12" s="30" t="str">
        <x:v>https://owasp.org/www-project-application-security-verification-standard/</x:v>
      </x:c>
      <x:c r="H12" s="28"/>
    </x:row>
    <x:row r="13">
      <x:c r="A13" s="30" t="str">
        <x:v>Observability</x:v>
      </x:c>
      <x:c r="B13" s="30" t="str">
        <x:v>Basic logs</x:v>
      </x:c>
      <x:c r="C13" s="30" t="str">
        <x:v>Sentry + structured logs + uptime checks + dashboards</x:v>
      </x:c>
      <x:c r="D13" s="30" t="str">
        <x:v>Find failures before users report them</x:v>
      </x:c>
      <x:c r="E13" s="30" t="str">
        <x:v>Alert budget and error-rate SLOs</x:v>
      </x:c>
      <x:c r="F13" s="30" t="str">
        <x:v>SRE</x:v>
      </x:c>
      <x:c r="G13" s="30" t="str">
        <x:v>https://sentry.io/pricing/</x:v>
      </x:c>
      <x:c r="H13" s="28"/>
    </x:row>
    <x:row r="14">
      <x:c r="A14" s="30" t="str">
        <x:v>Security</x:v>
      </x:c>
      <x:c r="B14" s="30" t="str">
        <x:v>Local dev controls</x:v>
      </x:c>
      <x:c r="C14" s="30" t="str">
        <x:v>WAF, bot/rate protection, dependency scanning, backups, audit logs</x:v>
      </x:c>
      <x:c r="D14" s="30" t="str">
        <x:v>Protect users and availability</x:v>
      </x:c>
      <x:c r="E14" s="30" t="str">
        <x:v>Quarterly restore and access review</x:v>
      </x:c>
      <x:c r="F14" s="30" t="str">
        <x:v>Security</x:v>
      </x:c>
      <x:c r="G14" s="30" t="str">
        <x:v>https://www.cloudflare.com/plans/</x:v>
      </x:c>
      <x:c r="H14" s="28"/>
    </x:row>
    <x:row r="15">
      <x:c r="A15" s="30" t="str">
        <x:v>Analytics</x:v>
      </x:c>
      <x:c r="B15" s="30" t="str">
        <x:v>App counters</x:v>
      </x:c>
      <x:c r="C15" s="30" t="str">
        <x:v>Privacy-aware product analytics + warehouse later</x:v>
      </x:c>
      <x:c r="D15" s="30" t="str">
        <x:v>Measure activation, retention, study time and video health</x:v>
      </x:c>
      <x:c r="E15" s="30" t="str">
        <x:v>Consent and data retention policy</x:v>
      </x:c>
      <x:c r="F15" s="30" t="str">
        <x:v>Product</x:v>
      </x:c>
      <x:c r="G15" s="30" t="str">
        <x:v>https://posthog.com/pricing</x:v>
      </x:c>
      <x:c r="H15" s="28"/>
    </x:row>
    <x:row r="16">
      <x:c r="A16" s="30" t="str">
        <x:v>Delivery</x:v>
      </x:c>
      <x:c r="B16" s="30" t="str">
        <x:v>LAN / localhost</x:v>
      </x:c>
      <x:c r="C16" s="30" t="str">
        <x:v>Custom domain + TLS + CDN + status page</x:v>
      </x:c>
      <x:c r="D16" s="30" t="str">
        <x:v>Worldwide access from any laptop</x:v>
      </x:c>
      <x:c r="E16" s="30" t="str">
        <x:v>Use HTTPS for microphone and auth</x:v>
      </x:c>
      <x:c r="F16" s="30" t="str">
        <x:v>Platform</x:v>
      </x:c>
      <x:c r="G16" s="30" t="str">
        <x:v>https://letsencrypt.org/</x:v>
      </x:c>
      <x:c r="H16" s="2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42" hidden="0" customWidth="1"/>
    <x:col min="9" max="9" width="35" hidden="0" customWidth="1"/>
  </x:cols>
  <x:sheetData>
    <x:row r="1" ht="34" customHeight="1">
      <x:c r="A1" s="26" t="str">
        <x:v>Monthly operating cost model</x:v>
      </x:c>
      <x:c r="B1" s="26"/>
      <x:c r="C1" s="26"/>
      <x:c r="D1" s="26"/>
      <x:c r="E1" s="26"/>
      <x:c r="F1" s="26"/>
      <x:c r="G1" s="26"/>
      <x:c r="H1" s="26"/>
      <x:c r="I1" s="28"/>
    </x:row>
    <x:row r="2">
      <x:c r="A2" s="27" t="str">
        <x:v>All values are INR/month. Formula-driven totals make assumptions easy to edit. “People” are intentionally separate from infrastructure.</x:v>
      </x:c>
      <x:c r="B2" s="27"/>
      <x:c r="C2" s="27"/>
      <x:c r="D2" s="27"/>
      <x:c r="E2" s="27"/>
      <x:c r="F2" s="27"/>
      <x:c r="G2" s="27"/>
      <x:c r="H2" s="27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9" t="str">
        <x:v>Cost line</x:v>
      </x:c>
      <x:c r="B4" s="29" t="str">
        <x:v>Pilot qty / use</x:v>
      </x:c>
      <x:c r="C4" s="29" t="str">
        <x:v>Pilot ₹/mo</x:v>
      </x:c>
      <x:c r="D4" s="29" t="str">
        <x:v>Growth qty / use</x:v>
      </x:c>
      <x:c r="E4" s="29" t="str">
        <x:v>Growth ₹/mo</x:v>
      </x:c>
      <x:c r="F4" s="29" t="str">
        <x:v>Scale qty / use</x:v>
      </x:c>
      <x:c r="G4" s="29" t="str">
        <x:v>Scale ₹/mo</x:v>
      </x:c>
      <x:c r="H4" s="29" t="str">
        <x:v>Notes</x:v>
      </x:c>
      <x:c r="I4" s="29" t="str">
        <x:v>Source / assumption</x:v>
      </x:c>
    </x:row>
    <x:row r="5">
      <x:c r="A5" s="30" t="str">
        <x:v>Frontend hosting/CDN</x:v>
      </x:c>
      <x:c r="B5" s="30" t="n">
        <x:v>1</x:v>
      </x:c>
      <x:c r="C5" s="33" t="n">
        <x:v>1500</x:v>
      </x:c>
      <x:c r="D5" s="30" t="n">
        <x:v>1</x:v>
      </x:c>
      <x:c r="E5" s="33" t="n">
        <x:v>5000</x:v>
      </x:c>
      <x:c r="F5" s="30" t="n">
        <x:v>1</x:v>
      </x:c>
      <x:c r="G5" s="33" t="n">
        <x:v>20000</x:v>
      </x:c>
      <x:c r="H5" s="30" t="str">
        <x:v>Static hosting, build minutes and CDN allowance</x:v>
      </x:c>
      <x:c r="I5" s="30" t="str">
        <x:v>Planning allowance</x:v>
      </x:c>
    </x:row>
    <x:row r="6">
      <x:c r="A6" s="30" t="str">
        <x:v>API compute</x:v>
      </x:c>
      <x:c r="B6" s="30" t="n">
        <x:v>2</x:v>
      </x:c>
      <x:c r="C6" s="33" t="n">
        <x:v>5000</x:v>
      </x:c>
      <x:c r="D6" s="30" t="n">
        <x:v>4</x:v>
      </x:c>
      <x:c r="E6" s="33" t="n">
        <x:v>25000</x:v>
      </x:c>
      <x:c r="F6" s="30" t="n">
        <x:v>12</x:v>
      </x:c>
      <x:c r="G6" s="33" t="n">
        <x:v>120000</x:v>
      </x:c>
      <x:c r="H6" s="30" t="str">
        <x:v>Always-on instances; scale horizontally</x:v>
      </x:c>
      <x:c r="I6" s="30" t="str">
        <x:v>Render/AWS planning allowance</x:v>
      </x:c>
    </x:row>
    <x:row r="7">
      <x:c r="A7" s="30" t="str">
        <x:v>Managed database</x:v>
      </x:c>
      <x:c r="B7" s="30" t="n">
        <x:v>1</x:v>
      </x:c>
      <x:c r="C7" s="33" t="n">
        <x:v>4500</x:v>
      </x:c>
      <x:c r="D7" s="30" t="n">
        <x:v>1</x:v>
      </x:c>
      <x:c r="E7" s="33" t="n">
        <x:v>18000</x:v>
      </x:c>
      <x:c r="F7" s="30" t="n">
        <x:v>2</x:v>
      </x:c>
      <x:c r="G7" s="33" t="n">
        <x:v>90000</x:v>
      </x:c>
      <x:c r="H7" s="30" t="str">
        <x:v>HA/backups/read replica at scale</x:v>
      </x:c>
      <x:c r="I7" s="30" t="str">
        <x:v>Render Postgres docs</x:v>
      </x:c>
    </x:row>
    <x:row r="8">
      <x:c r="A8" s="30" t="str">
        <x:v>Object storage</x:v>
      </x:c>
      <x:c r="B8" s="30" t="n">
        <x:v>30</x:v>
      </x:c>
      <x:c r="C8" s="33" t="n">
        <x:v>300</x:v>
      </x:c>
      <x:c r="D8" s="30" t="n">
        <x:v>1024</x:v>
      </x:c>
      <x:c r="E8" s="33" t="n">
        <x:v>5000</x:v>
      </x:c>
      <x:c r="F8" s="30" t="n">
        <x:v>20480</x:v>
      </x:c>
      <x:c r="G8" s="33" t="n">
        <x:v>85000</x:v>
      </x:c>
      <x:c r="H8" s="30" t="str">
        <x:v>GB-month; media storage only</x:v>
      </x:c>
      <x:c r="I8" s="30" t="str">
        <x:v>R2 $0.015/GB-month + FX</x:v>
      </x:c>
    </x:row>
    <x:row r="9">
      <x:c r="A9" s="30" t="str">
        <x:v>Video processing/delivery</x:v>
      </x:c>
      <x:c r="B9" s="30" t="n">
        <x:v>100</x:v>
      </x:c>
      <x:c r="C9" s="33" t="n">
        <x:v>2500</x:v>
      </x:c>
      <x:c r="D9" s="30" t="n">
        <x:v>8000</x:v>
      </x:c>
      <x:c r="E9" s="33" t="n">
        <x:v>30000</x:v>
      </x:c>
      <x:c r="F9" s="30" t="n">
        <x:v>200000</x:v>
      </x:c>
      <x:c r="G9" s="33" t="n">
        <x:v>350000</x:v>
      </x:c>
      <x:c r="H9" s="30" t="str">
        <x:v>GB delivered/processed; biggest variable</x:v>
      </x:c>
      <x:c r="I9" s="30" t="str">
        <x:v>Stream/CDN planning allowance</x:v>
      </x:c>
    </x:row>
    <x:row r="10">
      <x:c r="A10" s="30" t="str">
        <x:v>Queue/cache/realtime</x:v>
      </x:c>
      <x:c r="B10" s="30" t="n">
        <x:v>1</x:v>
      </x:c>
      <x:c r="C10" s="33" t="n">
        <x:v>1500</x:v>
      </x:c>
      <x:c r="D10" s="30" t="n">
        <x:v>2</x:v>
      </x:c>
      <x:c r="E10" s="33" t="n">
        <x:v>8000</x:v>
      </x:c>
      <x:c r="F10" s="30" t="n">
        <x:v>6</x:v>
      </x:c>
      <x:c r="G10" s="33" t="n">
        <x:v>45000</x:v>
      </x:c>
      <x:c r="H10" s="30" t="str">
        <x:v>Redis/pub-sub and background jobs</x:v>
      </x:c>
      <x:c r="I10" s="30" t="str">
        <x:v>Managed Redis planning allowance</x:v>
      </x:c>
    </x:row>
    <x:row r="11">
      <x:c r="A11" s="30" t="str">
        <x:v>Email/SMS/notifications</x:v>
      </x:c>
      <x:c r="B11" s="30" t="n">
        <x:v>2000</x:v>
      </x:c>
      <x:c r="C11" s="33" t="n">
        <x:v>1200</x:v>
      </x:c>
      <x:c r="D11" s="30" t="n">
        <x:v>25000</x:v>
      </x:c>
      <x:c r="E11" s="33" t="n">
        <x:v>5000</x:v>
      </x:c>
      <x:c r="F11" s="30" t="n">
        <x:v>250000</x:v>
      </x:c>
      <x:c r="G11" s="33" t="n">
        <x:v>30000</x:v>
      </x:c>
      <x:c r="H11" s="30" t="str">
        <x:v>Password reset, verification, alerts</x:v>
      </x:c>
      <x:c r="I11" s="30" t="str">
        <x:v>Provider usage allowance</x:v>
      </x:c>
    </x:row>
    <x:row r="12">
      <x:c r="A12" s="30" t="str">
        <x:v>Monitoring/logging</x:v>
      </x:c>
      <x:c r="B12" s="30" t="n">
        <x:v>1</x:v>
      </x:c>
      <x:c r="C12" s="33" t="n">
        <x:v>1000</x:v>
      </x:c>
      <x:c r="D12" s="30" t="n">
        <x:v>1</x:v>
      </x:c>
      <x:c r="E12" s="33" t="n">
        <x:v>6000</x:v>
      </x:c>
      <x:c r="F12" s="30" t="n">
        <x:v>1</x:v>
      </x:c>
      <x:c r="G12" s="33" t="n">
        <x:v>25000</x:v>
      </x:c>
      <x:c r="H12" s="30" t="str">
        <x:v>Sentry, logs, uptime and dashboards</x:v>
      </x:c>
      <x:c r="I12" s="30" t="str">
        <x:v>Sentry + log allowance</x:v>
      </x:c>
    </x:row>
    <x:row r="13">
      <x:c r="A13" s="30" t="str">
        <x:v>Security/WAF/DNS</x:v>
      </x:c>
      <x:c r="B13" s="30" t="n">
        <x:v>1</x:v>
      </x:c>
      <x:c r="C13" s="33" t="n">
        <x:v>1000</x:v>
      </x:c>
      <x:c r="D13" s="30" t="n">
        <x:v>1</x:v>
      </x:c>
      <x:c r="E13" s="33" t="n">
        <x:v>4000</x:v>
      </x:c>
      <x:c r="F13" s="30" t="n">
        <x:v>1</x:v>
      </x:c>
      <x:c r="G13" s="33" t="n">
        <x:v>15000</x:v>
      </x:c>
      <x:c r="H13" s="30" t="str">
        <x:v>WAF, DNS, bot rules, certificates</x:v>
      </x:c>
      <x:c r="I13" s="30" t="str">
        <x:v>Cloudflare planning allowance</x:v>
      </x:c>
    </x:row>
    <x:row r="14">
      <x:c r="A14" s="30" t="str">
        <x:v>Backups/DR</x:v>
      </x:c>
      <x:c r="B14" s="30" t="n">
        <x:v>1</x:v>
      </x:c>
      <x:c r="C14" s="33" t="n">
        <x:v>1500</x:v>
      </x:c>
      <x:c r="D14" s="30" t="n">
        <x:v>1</x:v>
      </x:c>
      <x:c r="E14" s="33" t="n">
        <x:v>6000</x:v>
      </x:c>
      <x:c r="F14" s="30" t="n">
        <x:v>1</x:v>
      </x:c>
      <x:c r="G14" s="33" t="n">
        <x:v>30000</x:v>
      </x:c>
      <x:c r="H14" s="30" t="str">
        <x:v>Cross-region backup copies and restore tests</x:v>
      </x:c>
      <x:c r="I14" s="30" t="str">
        <x:v>Planning allowance</x:v>
      </x:c>
    </x:row>
    <x:row r="15">
      <x:c r="A15" s="30" t="str">
        <x:v>Support tools</x:v>
      </x:c>
      <x:c r="B15" s="30" t="n">
        <x:v>1</x:v>
      </x:c>
      <x:c r="C15" s="33" t="n">
        <x:v>2000</x:v>
      </x:c>
      <x:c r="D15" s="30" t="n">
        <x:v>1</x:v>
      </x:c>
      <x:c r="E15" s="33" t="n">
        <x:v>6000</x:v>
      </x:c>
      <x:c r="F15" s="30" t="n">
        <x:v>1</x:v>
      </x:c>
      <x:c r="G15" s="33" t="n">
        <x:v>20000</x:v>
      </x:c>
      <x:c r="H15" s="30" t="str">
        <x:v>Helpdesk, status page, incident tooling</x:v>
      </x:c>
      <x:c r="I15" s="30" t="str">
        <x:v>Planning allowance</x:v>
      </x:c>
    </x:row>
    <x:row r="16">
      <x:c r="A16" s="31" t="str">
        <x:v>Infrastructure subtotal</x:v>
      </x:c>
      <x:c r="B16" s="31" t="str"/>
      <x:c r="C16" s="34" t="n">
        <x:f>SUM(C5:C15)</x:f>
        <x:v>22000</x:v>
      </x:c>
      <x:c r="D16" s="31" t="str"/>
      <x:c r="E16" s="34" t="n">
        <x:f>SUM(E5:E15)</x:f>
        <x:v>118000</x:v>
      </x:c>
      <x:c r="F16" s="31" t="str"/>
      <x:c r="G16" s="34" t="n">
        <x:f>SUM(G5:G15)</x:f>
        <x:v>830000</x:v>
      </x:c>
      <x:c r="H16" s="31" t="str"/>
      <x:c r="I16" s="31" t="str"/>
    </x:row>
    <x:row r="17">
      <x:c r="A17" s="28" t="str">
        <x:v>15% contingency</x:v>
      </x:c>
      <x:c r="B17" s="28" t="str"/>
      <x:c r="C17" s="35" t="n">
        <x:f>C16*15%</x:f>
        <x:v>3300</x:v>
      </x:c>
      <x:c r="D17" s="28" t="str"/>
      <x:c r="E17" s="35" t="n">
        <x:f>E16*15%</x:f>
        <x:v>17700</x:v>
      </x:c>
      <x:c r="F17" s="28" t="str"/>
      <x:c r="G17" s="35" t="n">
        <x:f>G16*15%</x:f>
        <x:v>124500</x:v>
      </x:c>
      <x:c r="H17" s="28" t="str"/>
      <x:c r="I17" s="28" t="str"/>
    </x:row>
    <x:row r="18">
      <x:c r="A18" s="36" t="str">
        <x:v>Total infrastructure budget</x:v>
      </x:c>
      <x:c r="B18" s="36" t="str"/>
      <x:c r="C18" s="37" t="n">
        <x:f>C16+C17</x:f>
        <x:v>25300</x:v>
      </x:c>
      <x:c r="D18" s="36" t="str"/>
      <x:c r="E18" s="37" t="n">
        <x:f>E16+E17</x:f>
        <x:v>135700</x:v>
      </x:c>
      <x:c r="F18" s="36" t="str"/>
      <x:c r="G18" s="37" t="n">
        <x:f>G16+G17</x:f>
        <x:v>954500</x:v>
      </x:c>
      <x:c r="H18" s="36" t="str"/>
      <x:c r="I18" s="36" t="str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</x:row>
    <x:row r="20">
      <x:c r="A20" s="29" t="str">
        <x:v>Budget view</x:v>
      </x:c>
      <x:c r="B20" s="29" t="str">
        <x:v>Pilot</x:v>
      </x:c>
      <x:c r="C20" s="29" t="str">
        <x:v>Growth</x:v>
      </x:c>
      <x:c r="D20" s="29" t="str">
        <x:v>Scale</x:v>
      </x:c>
      <x:c r="E20" s="28"/>
      <x:c r="F20" s="28"/>
      <x:c r="G20" s="28"/>
      <x:c r="H20" s="28"/>
      <x:c r="I20" s="28"/>
    </x:row>
    <x:row r="21">
      <x:c r="A21" s="30" t="str">
        <x:v>Monthly infra</x:v>
      </x:c>
      <x:c r="B21" s="33" t="n">
        <x:f>C18</x:f>
        <x:v>25300</x:v>
      </x:c>
      <x:c r="C21" s="33" t="n">
        <x:f>E18</x:f>
        <x:v>135700</x:v>
      </x:c>
      <x:c r="D21" s="33" t="n">
        <x:f>G18</x:f>
        <x:v>954500</x:v>
      </x:c>
      <x:c r="E21" s="28"/>
      <x:c r="F21" s="28"/>
      <x:c r="G21" s="28"/>
      <x:c r="H21" s="28"/>
      <x:c r="I21" s="28"/>
    </x:row>
    <x:row r="22">
      <x:c r="A22" s="30" t="str">
        <x:v>Annual infra</x:v>
      </x:c>
      <x:c r="B22" s="33" t="n">
        <x:f>B21*12</x:f>
        <x:v>303600</x:v>
      </x:c>
      <x:c r="C22" s="33" t="n">
        <x:f>C21*12</x:f>
        <x:v>1628400</x:v>
      </x:c>
      <x:c r="D22" s="33" t="n">
        <x:f>D21*12</x:f>
        <x:v>11454000</x:v>
      </x:c>
      <x:c r="E22" s="28"/>
      <x:c r="F22" s="28"/>
      <x:c r="G22" s="28"/>
      <x:c r="H22" s="28"/>
      <x:c r="I22" s="28"/>
    </x:row>
    <x:row r="23">
      <x:c r="A23" s="30" t="str">
        <x:v>People / contractors (separate)</x:v>
      </x:c>
      <x:c r="B23" s="33" t="n">
        <x:v>150000</x:v>
      </x:c>
      <x:c r="C23" s="33" t="n">
        <x:v>500000</x:v>
      </x:c>
      <x:c r="D23" s="33" t="n">
        <x:v>1500000</x:v>
      </x:c>
      <x:c r="E23" s="28"/>
      <x:c r="F23" s="28"/>
      <x:c r="G23" s="28"/>
      <x:c r="H23" s="28"/>
      <x:c r="I23" s="28"/>
    </x:row>
    <x:row r="24">
      <x:c r="A24" s="30" t="str">
        <x:v>Annual total incl. people</x:v>
      </x:c>
      <x:c r="B24" s="33" t="n">
        <x:f>B22+B23*12</x:f>
        <x:v>2103600</x:v>
      </x:c>
      <x:c r="C24" s="33" t="n">
        <x:f>C22+C23*12</x:f>
        <x:v>7628400</x:v>
      </x:c>
      <x:c r="D24" s="33" t="n">
        <x:f>D22+D23*12</x:f>
        <x:v>29454000</x:v>
      </x:c>
      <x:c r="E24" s="28"/>
      <x:c r="F24" s="28"/>
      <x:c r="G24" s="28"/>
      <x:c r="H24" s="28"/>
      <x:c r="I24" s="2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48" hidden="0" customWidth="1"/>
    <x:col min="5" max="5" width="22" hidden="0" customWidth="1"/>
    <x:col min="6" max="6" width="20" hidden="0" customWidth="1"/>
  </x:cols>
  <x:sheetData>
    <x:row r="1" ht="34" customHeight="1">
      <x:c r="A1" s="26" t="str">
        <x:v>Worldwide launch checklist</x:v>
      </x:c>
      <x:c r="B1" s="26"/>
      <x:c r="C1" s="26"/>
      <x:c r="D1" s="26"/>
      <x:c r="E1" s="26"/>
      <x:c r="F1" s="26"/>
      <x:c r="G1" s="26"/>
      <x:c r="H1" s="26"/>
    </x:row>
    <x:row r="2">
      <x:c r="A2" s="27" t="str">
        <x:v>Sequence the work so reliability, privacy and operating costs are under control before public growth.</x:v>
      </x:c>
      <x:c r="B2" s="27"/>
      <x:c r="C2" s="27"/>
      <x:c r="D2" s="27"/>
      <x:c r="E2" s="27"/>
      <x:c r="F2" s="27"/>
      <x:c r="G2" s="27"/>
      <x:c r="H2" s="27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29" t="str">
        <x:v>Phase</x:v>
      </x:c>
      <x:c r="B4" s="29" t="str">
        <x:v>Workstream</x:v>
      </x:c>
      <x:c r="C4" s="29" t="str">
        <x:v>Deliverable</x:v>
      </x:c>
      <x:c r="D4" s="29" t="str">
        <x:v>Exit criteria</x:v>
      </x:c>
      <x:c r="E4" s="29" t="str">
        <x:v>Owner</x:v>
      </x:c>
      <x:c r="F4" s="29" t="str">
        <x:v>Indicative one-time ₹</x:v>
      </x:c>
      <x:c r="G4" s="28"/>
      <x:c r="H4" s="28"/>
    </x:row>
    <x:row r="5">
      <x:c r="A5" s="30" t="str">
        <x:v>0. Product</x:v>
      </x:c>
      <x:c r="B5" s="30" t="str">
        <x:v>Scope</x:v>
      </x:c>
      <x:c r="C5" s="30" t="str">
        <x:v>Define MAU, video minutes, retention, regions, age policy</x:v>
      </x:c>
      <x:c r="D5" s="30" t="str">
        <x:v>Signed product brief and abuse policy</x:v>
      </x:c>
      <x:c r="E5" s="30" t="str">
        <x:v>Founder/Product</x:v>
      </x:c>
      <x:c r="F5" s="33" t="n">
        <x:v>0</x:v>
      </x:c>
      <x:c r="G5" s="28"/>
      <x:c r="H5" s="28"/>
    </x:row>
    <x:row r="6">
      <x:c r="A6" s="30" t="str">
        <x:v>1. Foundation</x:v>
      </x:c>
      <x:c r="B6" s="30" t="str">
        <x:v>Data</x:v>
      </x:c>
      <x:c r="C6" s="30" t="str">
        <x:v>Migrate SQLite to managed PostgreSQL/MySQL; add migrations</x:v>
      </x:c>
      <x:c r="D6" s="30" t="str">
        <x:v>Backup + restore test passes</x:v>
      </x:c>
      <x:c r="E6" s="30" t="str">
        <x:v>Backend/DBA</x:v>
      </x:c>
      <x:c r="F6" s="33" t="n">
        <x:v>75000</x:v>
      </x:c>
      <x:c r="G6" s="28"/>
      <x:c r="H6" s="28"/>
    </x:row>
    <x:row r="7">
      <x:c r="A7" s="30" t="str">
        <x:v>1. Foundation</x:v>
      </x:c>
      <x:c r="B7" s="30" t="str">
        <x:v>Media</x:v>
      </x:c>
      <x:c r="C7" s="30" t="str">
        <x:v>Move uploads to R2/S3; add signed URLs and transcoding queue</x:v>
      </x:c>
      <x:c r="D7" s="30" t="str">
        <x:v>Upload, playback, delete and retry flows work</x:v>
      </x:c>
      <x:c r="E7" s="30" t="str">
        <x:v>Platform</x:v>
      </x:c>
      <x:c r="F7" s="33" t="n">
        <x:v>100000</x:v>
      </x:c>
      <x:c r="G7" s="28"/>
      <x:c r="H7" s="28"/>
    </x:row>
    <x:row r="8">
      <x:c r="A8" s="30" t="str">
        <x:v>1. Foundation</x:v>
      </x:c>
      <x:c r="B8" s="30" t="str">
        <x:v>Deployment</x:v>
      </x:c>
      <x:c r="C8" s="30" t="str">
        <x:v>Custom domain, HTTPS, CI/CD, environment secrets</x:v>
      </x:c>
      <x:c r="D8" s="30" t="str">
        <x:v>Public HTTPS health check; no secrets in repo</x:v>
      </x:c>
      <x:c r="E8" s="30" t="str">
        <x:v>Platform</x:v>
      </x:c>
      <x:c r="F8" s="33" t="n">
        <x:v>50000</x:v>
      </x:c>
      <x:c r="G8" s="28"/>
      <x:c r="H8" s="28"/>
    </x:row>
    <x:row r="9">
      <x:c r="A9" s="30" t="str">
        <x:v>2. Trust</x:v>
      </x:c>
      <x:c r="B9" s="30" t="str">
        <x:v>Security</x:v>
      </x:c>
      <x:c r="C9" s="30" t="str">
        <x:v>Rate limits, WAF, password reset, email verification, audit logs</x:v>
      </x:c>
      <x:c r="D9" s="30" t="str">
        <x:v>Threat-model review and security checklist complete</x:v>
      </x:c>
      <x:c r="E9" s="30" t="str">
        <x:v>Security</x:v>
      </x:c>
      <x:c r="F9" s="33" t="n">
        <x:v>125000</x:v>
      </x:c>
      <x:c r="G9" s="28"/>
      <x:c r="H9" s="28"/>
    </x:row>
    <x:row r="10">
      <x:c r="A10" s="30" t="str">
        <x:v>2. Trust</x:v>
      </x:c>
      <x:c r="B10" s="30" t="str">
        <x:v>Privacy</x:v>
      </x:c>
      <x:c r="C10" s="30" t="str">
        <x:v>Terms, privacy, consent, retention and deletion workflows</x:v>
      </x:c>
      <x:c r="D10" s="30" t="str">
        <x:v>Legal review and user data export/delete path</x:v>
      </x:c>
      <x:c r="E10" s="30" t="str">
        <x:v>Legal/Product</x:v>
      </x:c>
      <x:c r="F10" s="33" t="n">
        <x:v>150000</x:v>
      </x:c>
      <x:c r="G10" s="28"/>
      <x:c r="H10" s="28"/>
    </x:row>
    <x:row r="11">
      <x:c r="A11" s="30" t="str">
        <x:v>3. Reliability</x:v>
      </x:c>
      <x:c r="B11" s="30" t="str">
        <x:v>Observability</x:v>
      </x:c>
      <x:c r="C11" s="30" t="str">
        <x:v>Sentry, metrics, alerts, uptime, runbooks</x:v>
      </x:c>
      <x:c r="D11" s="30" t="str">
        <x:v>On-call alert tested; restore drill complete</x:v>
      </x:c>
      <x:c r="E11" s="30" t="str">
        <x:v>SRE</x:v>
      </x:c>
      <x:c r="F11" s="33" t="n">
        <x:v>75000</x:v>
      </x:c>
      <x:c r="G11" s="28"/>
      <x:c r="H11" s="28"/>
    </x:row>
    <x:row r="12">
      <x:c r="A12" s="30" t="str">
        <x:v>4. Growth</x:v>
      </x:c>
      <x:c r="B12" s="30" t="str">
        <x:v>Performance</x:v>
      </x:c>
      <x:c r="C12" s="30" t="str">
        <x:v>Load test feed/reels/comments; CDN caching; DB indexes</x:v>
      </x:c>
      <x:c r="D12" s="30" t="str">
        <x:v>Target p95 latency and error budget met</x:v>
      </x:c>
      <x:c r="E12" s="30" t="str">
        <x:v>SRE/Backend</x:v>
      </x:c>
      <x:c r="F12" s="33" t="n">
        <x:v>150000</x:v>
      </x:c>
      <x:c r="G12" s="28"/>
      <x:c r="H12" s="28"/>
    </x:row>
    <x:row r="13">
      <x:c r="A13" s="30" t="str">
        <x:v>5. Operations</x:v>
      </x:c>
      <x:c r="B13" s="30" t="str">
        <x:v>People</x:v>
      </x:c>
      <x:c r="C13" s="30" t="str">
        <x:v>Support, moderation, content policy and incident rota</x:v>
      </x:c>
      <x:c r="D13" s="30" t="str">
        <x:v>Named owners and response SLAs</x:v>
      </x:c>
      <x:c r="E13" s="30" t="str">
        <x:v>Founder/Ops</x:v>
      </x:c>
      <x:c r="F13" s="33" t="n">
        <x:v>0</x:v>
      </x:c>
      <x:c r="G13" s="28"/>
      <x:c r="H13" s="28"/>
    </x:row>
  </x:sheetData>
  <x:mergeCells>
    <x:mergeCell ref="A1:H1"/>
    <x:mergeCell ref="A2:H2"/>
  </x:mergeCells>
  <x:pageMargins left="0.7" right="0.7" top="0.75" bottom="0.75" header="0.3" footer="0.3"/>
</x:worksheet>
</file>